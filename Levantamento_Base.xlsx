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 Carvalho\Desktop\Projeto-Analise-em-campo-main 20-01-26\"/>
    </mc:Choice>
  </mc:AlternateContent>
  <xr:revisionPtr revIDLastSave="0" documentId="13_ncr:1_{C8CB901D-C775-4168-BDB4-A9656D0D3DBA}" xr6:coauthVersionLast="47" xr6:coauthVersionMax="47" xr10:uidLastSave="{00000000-0000-0000-0000-000000000000}"/>
  <bookViews>
    <workbookView xWindow="22932" yWindow="-108" windowWidth="23256" windowHeight="12456" xr2:uid="{F41B2C49-C6BD-4BBE-BF20-7EFF479AB922}"/>
  </bookViews>
  <sheets>
    <sheet name="Ar Condicionado" sheetId="1" r:id="rId1"/>
    <sheet name="Iluminação" sheetId="2" r:id="rId2"/>
    <sheet name="Motores e Acionamento" sheetId="3" r:id="rId3"/>
    <sheet name="Painéis Fotovoltaicos" sheetId="4" r:id="rId4"/>
    <sheet name="Aquecimento de Água" sheetId="5" r:id="rId5"/>
    <sheet name="Refrigeração" sheetId="6" r:id="rId6"/>
    <sheet name="Outras Carg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<sst xmlns="http://schemas.openxmlformats.org/spreadsheetml/2006/main" count="116" uniqueCount="68">
  <si>
    <t>Código do Prédio/Bloco</t>
  </si>
  <si>
    <t>Pavimento</t>
  </si>
  <si>
    <t>Ambiente</t>
  </si>
  <si>
    <t>Tipo de Aparelho</t>
  </si>
  <si>
    <t>Marca</t>
  </si>
  <si>
    <t>Qntd. de Aparelhos</t>
  </si>
  <si>
    <t>Potência(BTU/h)</t>
  </si>
  <si>
    <t>Eficiência (Wh/Wh)</t>
  </si>
  <si>
    <t>Classificação Inmetro</t>
  </si>
  <si>
    <t>Idade do Aparelho (anos)</t>
  </si>
  <si>
    <t>Estado de Conservação</t>
  </si>
  <si>
    <t>Funcionamento Horas/Dia</t>
  </si>
  <si>
    <t>Funcionamento Dias/Mês</t>
  </si>
  <si>
    <t>Funcionamento Meses/Ano</t>
  </si>
  <si>
    <t>Tipo Lâmpada</t>
  </si>
  <si>
    <t>Qntd. de lâmpadas</t>
  </si>
  <si>
    <t>Potência (W)</t>
  </si>
  <si>
    <t>Tipo Luminária</t>
  </si>
  <si>
    <t>Qntd. de luminárias</t>
  </si>
  <si>
    <t>Num lâmpadas/luminárias</t>
  </si>
  <si>
    <t>Tipo de Teto/Forro</t>
  </si>
  <si>
    <t>Tipo de Reator</t>
  </si>
  <si>
    <t>Tipo de Acionamento</t>
  </si>
  <si>
    <t>Possibilidade de seccionar circuitos ?</t>
  </si>
  <si>
    <t>Tipo de Sistema</t>
  </si>
  <si>
    <t>Potência do Motor (cv)</t>
  </si>
  <si>
    <t>Carregamento Médio (%)</t>
  </si>
  <si>
    <t>Rendimento Nominal (%)</t>
  </si>
  <si>
    <t>Rendimento no ponto de carregamento (%)</t>
  </si>
  <si>
    <t>Quantidade</t>
  </si>
  <si>
    <t>Possui inversor de frequência ?</t>
  </si>
  <si>
    <t>Possui soft starter ?</t>
  </si>
  <si>
    <t>Idade Média (anos)</t>
  </si>
  <si>
    <t>Orientação da cobertura</t>
  </si>
  <si>
    <t>Inclinação da cobertura</t>
  </si>
  <si>
    <t>Condições da cobertura</t>
  </si>
  <si>
    <t>Área de cobertura disponível</t>
  </si>
  <si>
    <t>Potência instalada do sistema (kWp)</t>
  </si>
  <si>
    <t>Quantidade de módulos fotovoltaicos</t>
  </si>
  <si>
    <t>Potência unitária dos módulos (Wp)</t>
  </si>
  <si>
    <t>Potência nominal do sistema (kW)</t>
  </si>
  <si>
    <t>Quantidade de inversores</t>
  </si>
  <si>
    <t>Potência unitária dos inversores (kW)</t>
  </si>
  <si>
    <t>Descrição do Sistema</t>
  </si>
  <si>
    <t>Modelo do coletor solar</t>
  </si>
  <si>
    <t>Área externa (m²)</t>
  </si>
  <si>
    <t>Produção média mensal de energia (kWh)</t>
  </si>
  <si>
    <t>Eficiência (%)</t>
  </si>
  <si>
    <t>Àrea coletora por UC(m²)</t>
  </si>
  <si>
    <t>Nº de coletores solares</t>
  </si>
  <si>
    <t>Modelo do reservatório térmico</t>
  </si>
  <si>
    <t>Volume do reservatório (L)</t>
  </si>
  <si>
    <t>Nº de chuveiros por UC</t>
  </si>
  <si>
    <t>Potência máxima dos chuveiros (W)</t>
  </si>
  <si>
    <t>Potência do aquecimento auxiliar (W)</t>
  </si>
  <si>
    <t>Fator de coincidência na ponta</t>
  </si>
  <si>
    <t>Nº de banhos/dia</t>
  </si>
  <si>
    <t>Tempo médio de banho (min)</t>
  </si>
  <si>
    <t>Vazão do chuveiro (L/min)</t>
  </si>
  <si>
    <t>Tipo de equipamento / tecnologia</t>
  </si>
  <si>
    <t>Potência nominal (kW)</t>
  </si>
  <si>
    <t>Fator de utilização (%)</t>
  </si>
  <si>
    <t>Descrição do sistema</t>
  </si>
  <si>
    <t>Potência nominal (W)</t>
  </si>
  <si>
    <t>Potência instalada (kW)</t>
  </si>
  <si>
    <t>Informações Gerais</t>
  </si>
  <si>
    <t>Nome da Unidade Consumidora</t>
  </si>
  <si>
    <t>Consumo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</si>
</sst>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47D359"/>
        <bgColor indexed="64"/>
      </patternFill>
    </fill>
    <fill>
      <patternFill patternType="solid">
        <fgColor rgb="FFD86DC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2" fillId="8" borderId="2" xfId="0" applyFont="1" applyFill="1" applyBorder="1"/>
    <xf numFmtId="0" fontId="1" fillId="2" borderId="3" xfId="0" applyFont="1" applyFill="1" applyBorder="1"/>
    <xf numFmtId="0" fontId="2" fillId="3" borderId="3" xfId="0" applyFont="1" applyFill="1" applyBorder="1"/>
    <xf numFmtId="0" fontId="1" fillId="6" borderId="3" xfId="0" applyFont="1" applyFill="1" applyBorder="1"/>
    <xf numFmtId="0" fontId="1" fillId="4" borderId="4" xfId="0" applyFont="1" applyFill="1" applyBorder="1"/>
    <xf numFmtId="0" fontId="1" fillId="7" borderId="3" xfId="0" applyFont="1" applyFill="1" applyBorder="1"/>
    <xf numFmtId="0" fontId="1" fillId="9" borderId="3" xfId="0" applyFont="1" applyFill="1" applyBorder="1"/>
    <xf numFmtId="0" fontId="1" fillId="10" borderId="3" xfId="0" applyFont="1" applyFill="1" applyBorder="1"/>
    <xf numFmtId="0" fontId="1" fillId="5" borderId="5" xfId="0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DA15-737E-4DDA-A22A-0BFF537D48BE}">
  <dimension ref="A1:Q1"/>
  <sheetViews>
    <sheetView tabSelected="1" workbookViewId="0">
      <selection activeCell="A2" sqref="A2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" bestFit="1" customWidth="1"/>
    <col min="5" max="5" width="17.28515625" bestFit="1" customWidth="1"/>
    <col min="6" max="6" width="16.42578125" bestFit="1" customWidth="1"/>
    <col min="7" max="7" width="6.85546875" bestFit="1" customWidth="1"/>
    <col min="8" max="8" width="18.85546875" style="21" bestFit="1" customWidth="1"/>
    <col min="9" max="9" width="16.5703125" bestFit="1" customWidth="1"/>
    <col min="10" max="10" width="19.28515625" bestFit="1" customWidth="1"/>
    <col min="11" max="11" width="21.85546875" bestFit="1" customWidth="1"/>
    <col min="12" max="12" width="24.28515625" style="21" bestFit="1" customWidth="1"/>
    <col min="13" max="13" width="23" bestFit="1" customWidth="1"/>
    <col min="14" max="14" width="26" bestFit="1" customWidth="1"/>
    <col min="15" max="15" width="25.28515625" bestFit="1" customWidth="1"/>
    <col min="16" max="16" width="27" bestFit="1" customWidth="1"/>
    <col min="17" max="17" width="19.42578125" bestFit="1" customWidth="1"/>
  </cols>
  <sheetData>
    <row r="1" spans="1:17" ht="15.75" x14ac:dyDescent="0.25">
      <c r="A1" s="15" t="s">
        <v>66</v>
      </c>
      <c r="B1" s="1" t="s">
        <v>0</v>
      </c>
      <c r="C1" s="16" t="s">
        <v>1</v>
      </c>
      <c r="D1" s="16" t="s">
        <v>2</v>
      </c>
      <c r="E1" s="17" t="s">
        <v>67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8" t="s">
        <v>11</v>
      </c>
      <c r="O1" s="18" t="s">
        <v>12</v>
      </c>
      <c r="P1" s="18" t="s">
        <v>13</v>
      </c>
      <c r="Q1" s="15" t="s">
        <v>65</v>
      </c>
    </row>
  </sheetData>
  <dataValidations count="10">
    <dataValidation type="list" allowBlank="1" showInputMessage="1" showErrorMessage="1" sqref="F2:F1048576" xr:uid="{9B528F3F-1E85-4F88-A1E9-2E3D3B86680F}">
      <formula1>"Ar condicionado de janela,Split Piso Teto,Self Contained,Split Hi-Wall"</formula1>
    </dataValidation>
    <dataValidation type="list" allowBlank="1" showInputMessage="1" showErrorMessage="1" sqref="K2:K1048576" xr:uid="{09E91944-1155-4B4A-92FB-63D80FF36DA3}">
      <formula1>"A,B,C,D,E,NÃO"</formula1>
    </dataValidation>
    <dataValidation type="list" allowBlank="1" showInputMessage="1" showErrorMessage="1" sqref="M2:M1048576" xr:uid="{34E3B2C7-B65D-4B72-A76F-867822E90332}">
      <formula1>"Novo,Bom,Ruim"</formula1>
    </dataValidation>
    <dataValidation type="list" allowBlank="1" showInputMessage="1" sqref="G2:G1048576" xr:uid="{6B496091-23C6-40A9-A28E-09203708CC13}">
      <formula1>"Gree, Midea, Springer, Carrier, Electrolux, Philco, LG, Agratto, Elgin, Consul, Samsung, Tempstar"</formula1>
    </dataValidation>
    <dataValidation type="list" allowBlank="1" showInputMessage="1" showErrorMessage="1" sqref="L2:L1048576" xr:uid="{E47872EE-BF48-48AF-99BB-9AD642B71339}">
      <formula1>"0,1,2,3,4,5,6,7,8,9,10,11,12,13,14,15,16,17,18,19,20"</formula1>
    </dataValidation>
    <dataValidation type="list" allowBlank="1" showInputMessage="1" showErrorMessage="1" sqref="H2:H1048576" xr:uid="{D971B4DE-68E3-4140-BC63-66D4F81B629F}">
      <formula1>"0, 1, 2, 3, 4, 5, 6, 7, 8, 9, 10"</formula1>
    </dataValidation>
    <dataValidation type="list" allowBlank="1" showInputMessage="1" showErrorMessage="1" sqref="I4:I1048576 I2" xr:uid="{8C00E694-FEDA-4DD1-BF22-AC4F208C61F8}">
      <formula1>"9000, 12000, 18000, 22000, 24000, 30000, 32000, 36000, 42000, 46000, 48000, 54000, 56000, 57000"</formula1>
    </dataValidation>
    <dataValidation type="list" allowBlank="1" showInputMessage="1" showErrorMessage="1" sqref="P2:P1048576" xr:uid="{FD4BE137-961F-46EF-A030-D0B650ABB02B}">
      <formula1>"1, 2, 3, 4, 5, 6, 7, 8, 9, 10, 11, 12"</formula1>
    </dataValidation>
    <dataValidation type="list" allowBlank="1" showInputMessage="1" showErrorMessage="1" sqref="N2:N1048576" xr:uid="{5E434D67-8796-4D83-ADD9-2FE4BF976827}">
      <formula1>"1, 2, 3, 4, 5, 6, 7, 8, 9, 10, 11, 12, 13, 14, 15, 16, 17, 18, 19, 20, 21, 22, 23, 24"</formula1>
    </dataValidation>
    <dataValidation type="list" allowBlank="1" showInputMessage="1" showErrorMessage="1" sqref="O2:O1048576" xr:uid="{6938B6B0-B5D1-4506-85AD-007F105E08BA}">
      <formula1>"1, 2, 3, 4, 5, 6, 7, 8, 9, 10, 11, 12, 13, 14, 15, 16, 17, 18, 19, 20, 21, 21.25, 22, 23, 24, 25, 26, 27, 28, 29, 30"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D3D1-2E8A-4528-A28A-24F32A7E49EE}">
  <dimension ref="A1:S1"/>
  <sheetViews>
    <sheetView topLeftCell="K1" workbookViewId="0">
      <selection activeCell="Q2" sqref="Q2:Q1048576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" bestFit="1" customWidth="1"/>
    <col min="5" max="5" width="14" bestFit="1" customWidth="1"/>
    <col min="6" max="6" width="18.7109375" bestFit="1" customWidth="1"/>
    <col min="7" max="7" width="13.140625" bestFit="1" customWidth="1"/>
    <col min="8" max="8" width="14.7109375" bestFit="1" customWidth="1"/>
    <col min="9" max="9" width="19.42578125" style="21" bestFit="1" customWidth="1"/>
    <col min="10" max="10" width="26.28515625" style="21" bestFit="1" customWidth="1"/>
    <col min="11" max="11" width="23" bestFit="1" customWidth="1"/>
    <col min="12" max="12" width="18" bestFit="1" customWidth="1"/>
    <col min="13" max="13" width="14.28515625" bestFit="1" customWidth="1"/>
    <col min="14" max="14" width="20.7109375" bestFit="1" customWidth="1"/>
    <col min="15" max="15" width="36.5703125" bestFit="1" customWidth="1"/>
    <col min="16" max="16" width="26" bestFit="1" customWidth="1"/>
    <col min="17" max="17" width="25.28515625" bestFit="1" customWidth="1"/>
    <col min="18" max="18" width="27" bestFit="1" customWidth="1"/>
    <col min="19" max="19" width="19.42578125" bestFit="1" customWidth="1"/>
  </cols>
  <sheetData>
    <row r="1" spans="1:19" ht="15.75" x14ac:dyDescent="0.25">
      <c r="A1" s="15" t="s">
        <v>66</v>
      </c>
      <c r="B1" s="2" t="s">
        <v>0</v>
      </c>
      <c r="C1" s="3" t="s">
        <v>1</v>
      </c>
      <c r="D1" s="3" t="s">
        <v>2</v>
      </c>
      <c r="E1" s="4" t="s">
        <v>14</v>
      </c>
      <c r="F1" s="4" t="s">
        <v>15</v>
      </c>
      <c r="G1" s="4" t="s">
        <v>16</v>
      </c>
      <c r="H1" s="5" t="s">
        <v>17</v>
      </c>
      <c r="I1" s="5" t="s">
        <v>18</v>
      </c>
      <c r="J1" s="5" t="s">
        <v>19</v>
      </c>
      <c r="K1" s="5" t="s">
        <v>10</v>
      </c>
      <c r="L1" s="5" t="s">
        <v>20</v>
      </c>
      <c r="M1" s="6" t="s">
        <v>21</v>
      </c>
      <c r="N1" s="6" t="s">
        <v>22</v>
      </c>
      <c r="O1" s="6" t="s">
        <v>23</v>
      </c>
      <c r="P1" s="18" t="s">
        <v>11</v>
      </c>
      <c r="Q1" s="18" t="s">
        <v>12</v>
      </c>
      <c r="R1" s="18" t="s">
        <v>13</v>
      </c>
      <c r="S1" s="15" t="s">
        <v>65</v>
      </c>
    </row>
  </sheetData>
  <dataValidations count="11">
    <dataValidation type="list" allowBlank="1" showInputMessage="1" showErrorMessage="1" sqref="E2:E1048576" xr:uid="{A81D3243-295F-4334-8C9E-7A9E623AD637}">
      <formula1>"LED,Fluorescente Compacta,Flourescente Tubular,Vapor de Mercúrio,Vapor de Sódio,Vapor Metálico,Mista,Halógena,Dicroica"</formula1>
    </dataValidation>
    <dataValidation type="list" allowBlank="1" showInputMessage="1" showErrorMessage="1" sqref="H2:H1048576" xr:uid="{3186E629-E37F-4250-A7E0-4111B078AD25}">
      <formula1>"Embutida,Sobrepor,Com Difusor,Com Aleta,Com Refletor Interno"</formula1>
    </dataValidation>
    <dataValidation type="list" allowBlank="1" showInputMessage="1" showErrorMessage="1" sqref="K2:K1048576" xr:uid="{EBB4CD65-ECFB-44E7-ABA8-320E64E3C7D7}">
      <formula1>"Novo,Bom,Ruim"</formula1>
    </dataValidation>
    <dataValidation type="list" allowBlank="1" showInputMessage="1" showErrorMessage="1" sqref="L2:L1048576" xr:uid="{631BA505-8825-44D2-83E6-082D984DACF2}">
      <formula1>"Gesso,PVC,Laje,Forro Pacote"</formula1>
    </dataValidation>
    <dataValidation type="list" allowBlank="1" showInputMessage="1" showErrorMessage="1" sqref="M2:M1048576" xr:uid="{39142C04-E302-4418-80B1-552A764E92C4}">
      <formula1>"Eletônico,Eletromagnético"</formula1>
    </dataValidation>
    <dataValidation type="list" allowBlank="1" showInputMessage="1" showErrorMessage="1" sqref="N2:N1048576" xr:uid="{6F60A8B1-9598-478F-A960-9A15960F71E5}">
      <formula1>"Disjuntor,Sensor de Presença,Interruptor Individual,Interruptor de área"</formula1>
    </dataValidation>
    <dataValidation type="list" allowBlank="1" showInputMessage="1" showErrorMessage="1" sqref="O2:O1048576" xr:uid="{A57AF9C3-D949-4F7A-B0C8-7C0EF05760B4}">
      <formula1>"Sim,Não"</formula1>
    </dataValidation>
    <dataValidation type="list" allowBlank="1" showInputMessage="1" sqref="G2:G1048576" xr:uid="{B7F6A2A1-D2E1-4F67-A9A6-6EFF222FD8CC}">
      <formula1>"9, 15, 20, 40, 50, 100, 150, 200"</formula1>
    </dataValidation>
    <dataValidation type="list" allowBlank="1" showInputMessage="1" showErrorMessage="1" sqref="R2:R1048576" xr:uid="{5FC4688F-43A7-46EF-A558-527A305CBFA1}">
      <formula1>"1, 2, 3, 4, 5, 6, 7, 8, 9, 10, 11, 12"</formula1>
    </dataValidation>
    <dataValidation type="list" allowBlank="1" showInputMessage="1" showErrorMessage="1" sqref="P2:P1048576" xr:uid="{D438AD94-6247-44FB-9844-A4FA206F2ADE}">
      <formula1>"1, 2, 3, 4, 5, 6, 7, 8, 9, 10, 11, 12, 13, 14, 15, 16, 17, 18, 19, 20, 21, 22, 23, 24"</formula1>
    </dataValidation>
    <dataValidation type="list" allowBlank="1" showInputMessage="1" showErrorMessage="1" sqref="Q2:Q1048576" xr:uid="{8C41BC0F-3CAD-494A-9474-E5613341902F}">
      <formula1>"1, 2, 3, 4, 5, 6, 7, 8, 9, 10, 11, 12, 13, 14, 15, 16, 17, 18, 19, 20, 21, 21.25, 22, 23, 24, 25, 26, 27, 28, 29, 30"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B6D6-87F2-4DA3-874C-99AF80B3BEAC}">
  <dimension ref="A1:Q1"/>
  <sheetViews>
    <sheetView topLeftCell="I1" workbookViewId="0">
      <selection activeCell="O2" sqref="O2:O1048576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" bestFit="1" customWidth="1"/>
    <col min="5" max="5" width="15.85546875" bestFit="1" customWidth="1"/>
    <col min="6" max="6" width="22.28515625" bestFit="1" customWidth="1"/>
    <col min="7" max="7" width="24.42578125" bestFit="1" customWidth="1"/>
    <col min="8" max="8" width="24.5703125" bestFit="1" customWidth="1"/>
    <col min="9" max="9" width="41.42578125" bestFit="1" customWidth="1"/>
    <col min="10" max="10" width="11.85546875" style="21" bestFit="1" customWidth="1"/>
    <col min="11" max="11" width="30.28515625" bestFit="1" customWidth="1"/>
    <col min="12" max="12" width="19.42578125" bestFit="1" customWidth="1"/>
    <col min="13" max="13" width="18.85546875" style="21" bestFit="1" customWidth="1"/>
    <col min="14" max="14" width="26" bestFit="1" customWidth="1"/>
    <col min="15" max="15" width="25.28515625" bestFit="1" customWidth="1"/>
    <col min="16" max="16" width="27" bestFit="1" customWidth="1"/>
    <col min="17" max="17" width="19.42578125" bestFit="1" customWidth="1"/>
  </cols>
  <sheetData>
    <row r="1" spans="1:17" ht="15.75" x14ac:dyDescent="0.25">
      <c r="A1" s="15" t="s">
        <v>66</v>
      </c>
      <c r="B1" s="7" t="s">
        <v>0</v>
      </c>
      <c r="C1" s="8" t="s">
        <v>1</v>
      </c>
      <c r="D1" s="8" t="s">
        <v>2</v>
      </c>
      <c r="E1" s="9" t="s">
        <v>24</v>
      </c>
      <c r="F1" s="9" t="s">
        <v>25</v>
      </c>
      <c r="G1" s="10" t="s">
        <v>26</v>
      </c>
      <c r="H1" s="10" t="s">
        <v>27</v>
      </c>
      <c r="I1" s="10" t="s">
        <v>28</v>
      </c>
      <c r="J1" s="11" t="s">
        <v>29</v>
      </c>
      <c r="K1" s="12" t="s">
        <v>30</v>
      </c>
      <c r="L1" s="12" t="s">
        <v>31</v>
      </c>
      <c r="M1" s="13" t="s">
        <v>32</v>
      </c>
      <c r="N1" s="18" t="s">
        <v>11</v>
      </c>
      <c r="O1" s="18" t="s">
        <v>12</v>
      </c>
      <c r="P1" s="18" t="s">
        <v>13</v>
      </c>
      <c r="Q1" s="15" t="s">
        <v>65</v>
      </c>
    </row>
  </sheetData>
  <dataValidations count="4">
    <dataValidation type="list" allowBlank="1" showInputMessage="1" showErrorMessage="1" sqref="K2:L1048576" xr:uid="{4153D509-BBE4-4FD8-9B8E-8BAD58179F7A}">
      <formula1>"Sim,Não"</formula1>
    </dataValidation>
    <dataValidation type="list" allowBlank="1" showInputMessage="1" showErrorMessage="1" sqref="P2:P1048576" xr:uid="{9048E834-DC6E-49DE-A523-8DCA50446176}">
      <formula1>"1, 2, 3, 4, 5, 6, 7, 8, 9, 10, 11, 12"</formula1>
    </dataValidation>
    <dataValidation type="list" allowBlank="1" showInputMessage="1" showErrorMessage="1" sqref="N2:N1048576" xr:uid="{E0EFA640-303D-42FF-AB45-1E1DB79DD8DF}">
      <formula1>"1, 2, 3, 4, 5, 6, 7, 8, 9, 10, 11, 12, 13, 14, 15, 16, 17, 18, 19, 20, 21, 22, 23, 24"</formula1>
    </dataValidation>
    <dataValidation type="list" allowBlank="1" showInputMessage="1" showErrorMessage="1" sqref="O2:O1048576" xr:uid="{3A3FF4E7-C491-4C32-8067-B3F47727D6B7}">
      <formula1>"1, 2, 3, 4, 5, 6, 7, 8, 9, 10, 11, 12, 13, 14, 15, 16, 17, 18, 19, 20, 21, 21.25, 22, 23, 24, 25, 26, 27, 28, 29, 30"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C675-4C95-476C-BDE5-0CFB87763370}">
  <dimension ref="A1:O1"/>
  <sheetViews>
    <sheetView topLeftCell="K1" workbookViewId="0">
      <selection activeCell="O1" sqref="O1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.140625" bestFit="1" customWidth="1"/>
    <col min="5" max="5" width="24" bestFit="1" customWidth="1"/>
    <col min="6" max="6" width="23.28515625" bestFit="1" customWidth="1"/>
    <col min="7" max="7" width="23.42578125" bestFit="1" customWidth="1"/>
    <col min="8" max="8" width="27.85546875" bestFit="1" customWidth="1"/>
    <col min="9" max="9" width="35.7109375" bestFit="1" customWidth="1"/>
    <col min="10" max="10" width="36.42578125" bestFit="1" customWidth="1"/>
    <col min="11" max="11" width="34.7109375" bestFit="1" customWidth="1"/>
    <col min="12" max="12" width="33.42578125" bestFit="1" customWidth="1"/>
    <col min="13" max="13" width="25" style="21" bestFit="1" customWidth="1"/>
    <col min="14" max="14" width="36.28515625" bestFit="1" customWidth="1"/>
    <col min="15" max="15" width="19.42578125" bestFit="1" customWidth="1"/>
  </cols>
  <sheetData>
    <row r="1" spans="1:15" ht="16.5" thickBot="1" x14ac:dyDescent="0.3">
      <c r="A1" s="15" t="s">
        <v>66</v>
      </c>
      <c r="B1" s="7" t="s">
        <v>0</v>
      </c>
      <c r="C1" s="8" t="s">
        <v>1</v>
      </c>
      <c r="D1" s="8" t="s">
        <v>2</v>
      </c>
      <c r="E1" s="9" t="s">
        <v>33</v>
      </c>
      <c r="F1" s="9" t="s">
        <v>34</v>
      </c>
      <c r="G1" s="10" t="s">
        <v>35</v>
      </c>
      <c r="H1" s="10" t="s">
        <v>36</v>
      </c>
      <c r="I1" s="10" t="s">
        <v>37</v>
      </c>
      <c r="J1" s="11" t="s">
        <v>38</v>
      </c>
      <c r="K1" s="12" t="s">
        <v>39</v>
      </c>
      <c r="L1" s="12" t="s">
        <v>40</v>
      </c>
      <c r="M1" s="13" t="s">
        <v>41</v>
      </c>
      <c r="N1" s="14" t="s">
        <v>42</v>
      </c>
      <c r="O1" s="15" t="s">
        <v>65</v>
      </c>
    </row>
  </sheetData>
  <dataValidations count="2">
    <dataValidation type="list" allowBlank="1" showInputMessage="1" showErrorMessage="1" sqref="E2:E1048576" xr:uid="{2F6B3207-BB57-4007-9D6A-A645885703CA}">
      <formula1>"Norte,Sul,Leste,Oeste"</formula1>
    </dataValidation>
    <dataValidation type="list" allowBlank="1" showInputMessage="1" showErrorMessage="1" sqref="G2:G1048576" xr:uid="{C14A91DA-E7B2-4AC4-A7CF-421321CC86D1}">
      <formula1>"Boa,Ruim"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0DF5-82D1-43F8-A153-A05B538BE746}">
  <dimension ref="A1:U1"/>
  <sheetViews>
    <sheetView topLeftCell="O1" workbookViewId="0">
      <selection activeCell="U1" sqref="U1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" bestFit="1" customWidth="1"/>
    <col min="5" max="5" width="21.7109375" bestFit="1" customWidth="1"/>
    <col min="6" max="6" width="23" bestFit="1" customWidth="1"/>
    <col min="7" max="7" width="17.42578125" bestFit="1" customWidth="1"/>
    <col min="8" max="8" width="40.42578125" bestFit="1" customWidth="1"/>
    <col min="9" max="9" width="14" bestFit="1" customWidth="1"/>
    <col min="10" max="10" width="24.5703125" bestFit="1" customWidth="1"/>
    <col min="11" max="11" width="22.85546875" bestFit="1" customWidth="1"/>
    <col min="12" max="12" width="30.5703125" bestFit="1" customWidth="1"/>
    <col min="13" max="13" width="25.85546875" bestFit="1" customWidth="1"/>
    <col min="14" max="14" width="22.7109375" style="21" bestFit="1" customWidth="1"/>
    <col min="15" max="15" width="35" bestFit="1" customWidth="1"/>
    <col min="16" max="16" width="36.5703125" bestFit="1" customWidth="1"/>
    <col min="17" max="17" width="30.140625" bestFit="1" customWidth="1"/>
    <col min="18" max="18" width="17.28515625" style="21" bestFit="1" customWidth="1"/>
    <col min="19" max="19" width="28.42578125" bestFit="1" customWidth="1"/>
    <col min="20" max="20" width="25.7109375" bestFit="1" customWidth="1"/>
    <col min="21" max="21" width="19.42578125" bestFit="1" customWidth="1"/>
  </cols>
  <sheetData>
    <row r="1" spans="1:21" ht="15.75" x14ac:dyDescent="0.25">
      <c r="A1" s="15" t="s">
        <v>66</v>
      </c>
      <c r="B1" s="1" t="s">
        <v>0</v>
      </c>
      <c r="C1" s="16" t="s">
        <v>1</v>
      </c>
      <c r="D1" s="16" t="s">
        <v>2</v>
      </c>
      <c r="E1" s="17" t="s">
        <v>43</v>
      </c>
      <c r="F1" s="17" t="s">
        <v>44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9" t="s">
        <v>50</v>
      </c>
      <c r="M1" s="19" t="s">
        <v>51</v>
      </c>
      <c r="N1" s="19" t="s">
        <v>52</v>
      </c>
      <c r="O1" s="19" t="s">
        <v>53</v>
      </c>
      <c r="P1" s="19" t="s">
        <v>54</v>
      </c>
      <c r="Q1" s="19" t="s">
        <v>55</v>
      </c>
      <c r="R1" s="20" t="s">
        <v>56</v>
      </c>
      <c r="S1" s="18" t="s">
        <v>57</v>
      </c>
      <c r="T1" s="18" t="s">
        <v>58</v>
      </c>
      <c r="U1" s="15" t="s">
        <v>65</v>
      </c>
    </row>
  </sheetData>
  <dataValidations count="1">
    <dataValidation operator="greaterThanOrEqual" allowBlank="1" showInputMessage="1" showErrorMessage="1" sqref="A1:XFD1" xr:uid="{761C8F7A-E64D-431D-B56F-53463F6B4CD9}"/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CAE-35EB-4988-AD7F-29C341BFFC31}">
  <dimension ref="A1:N1"/>
  <sheetViews>
    <sheetView topLeftCell="G1" workbookViewId="0">
      <selection activeCell="L2" sqref="L2:L1048576"/>
    </sheetView>
  </sheetViews>
  <sheetFormatPr defaultRowHeight="15" x14ac:dyDescent="0.25"/>
  <cols>
    <col min="1" max="1" width="31" bestFit="1" customWidth="1"/>
    <col min="2" max="2" width="23.5703125" bestFit="1" customWidth="1"/>
    <col min="3" max="3" width="11" bestFit="1" customWidth="1"/>
    <col min="4" max="4" width="10" bestFit="1" customWidth="1"/>
    <col min="5" max="5" width="15.85546875" bestFit="1" customWidth="1"/>
    <col min="6" max="6" width="32.42578125" bestFit="1" customWidth="1"/>
    <col min="7" max="7" width="22.5703125" bestFit="1" customWidth="1"/>
    <col min="8" max="8" width="17.28515625" bestFit="1" customWidth="1"/>
    <col min="9" max="9" width="22.140625" bestFit="1" customWidth="1"/>
    <col min="10" max="10" width="11.85546875" style="21" bestFit="1" customWidth="1"/>
    <col min="11" max="11" width="26" bestFit="1" customWidth="1"/>
    <col min="12" max="12" width="25.28515625" bestFit="1" customWidth="1"/>
    <col min="13" max="13" width="27" bestFit="1" customWidth="1"/>
    <col min="14" max="14" width="19.42578125" bestFit="1" customWidth="1"/>
  </cols>
  <sheetData>
    <row r="1" spans="1:14" ht="15.75" x14ac:dyDescent="0.25">
      <c r="A1" s="15" t="s">
        <v>66</v>
      </c>
      <c r="B1" s="1" t="s">
        <v>0</v>
      </c>
      <c r="C1" s="16" t="s">
        <v>1</v>
      </c>
      <c r="D1" s="16" t="s">
        <v>2</v>
      </c>
      <c r="E1" s="17" t="s">
        <v>24</v>
      </c>
      <c r="F1" s="17" t="s">
        <v>59</v>
      </c>
      <c r="G1" s="17" t="s">
        <v>60</v>
      </c>
      <c r="H1" s="17" t="s">
        <v>67</v>
      </c>
      <c r="I1" s="17" t="s">
        <v>61</v>
      </c>
      <c r="J1" s="17" t="s">
        <v>29</v>
      </c>
      <c r="K1" s="18" t="s">
        <v>11</v>
      </c>
      <c r="L1" s="18" t="s">
        <v>12</v>
      </c>
      <c r="M1" s="18" t="s">
        <v>13</v>
      </c>
      <c r="N1" s="15" t="s">
        <v>65</v>
      </c>
    </row>
  </sheetData>
  <dataValidations count="5">
    <dataValidation type="list" allowBlank="1" showInputMessage="1" sqref="E2:E1048576" xr:uid="{097348CE-198C-4877-9EA7-889DCD73EDBC}">
      <formula1>"Refrigeradores,Freezers,Câmaras Frigoríficas,Resfriados de Líquidos/Chillers"</formula1>
    </dataValidation>
    <dataValidation type="list" allowBlank="1" showInputMessage="1" sqref="F2:F1048576" xr:uid="{D878C98D-8610-4D4D-A1FE-53C1584929F4}">
      <formula1>"Geladeira, Freezer Vertical, Freezer Horizontal"</formula1>
    </dataValidation>
    <dataValidation type="list" allowBlank="1" showInputMessage="1" showErrorMessage="1" sqref="M2:M1048576" xr:uid="{E0985B8D-8FDF-43BE-A906-5850AAAA2B2F}">
      <formula1>"1, 2, 3, 4, 5, 6, 7, 8, 9, 10, 11, 12"</formula1>
    </dataValidation>
    <dataValidation type="list" allowBlank="1" showInputMessage="1" showErrorMessage="1" sqref="K2:K1048576" xr:uid="{0A17DDA1-633F-448C-9AFF-324AB784397E}">
      <formula1>"1, 2, 3, 4, 5, 6, 7, 8, 9, 10, 11, 12, 13, 14, 15, 16, 17, 18, 19, 20, 21, 22, 23, 24"</formula1>
    </dataValidation>
    <dataValidation type="list" allowBlank="1" showInputMessage="1" showErrorMessage="1" sqref="L2:L1048576" xr:uid="{23968CC6-22D1-4664-B721-47FD5F20BD95}">
      <formula1>"1, 2, 3, 4, 5, 6, 7, 8, 9, 10, 11, 12, 13, 14, 15, 16, 17, 18, 19, 20, 21, 21.25, 22, 23, 24, 25, 26, 27, 28, 29, 30"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7C6C-9E75-41D0-82F9-93AB250D1CA1}">
  <dimension ref="A1:M1"/>
  <sheetViews>
    <sheetView topLeftCell="F1" workbookViewId="0">
      <selection activeCell="K2" sqref="K2:K1048576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1" bestFit="1" customWidth="1"/>
    <col min="4" max="4" width="10" bestFit="1" customWidth="1"/>
    <col min="5" max="5" width="21.42578125" bestFit="1" customWidth="1"/>
    <col min="6" max="6" width="32.42578125" bestFit="1" customWidth="1"/>
    <col min="7" max="7" width="21.42578125" bestFit="1" customWidth="1"/>
    <col min="8" max="8" width="11.85546875" bestFit="1" customWidth="1"/>
    <col min="9" max="9" width="23.5703125" bestFit="1" customWidth="1"/>
    <col min="10" max="10" width="26" bestFit="1" customWidth="1"/>
    <col min="11" max="11" width="25.28515625" bestFit="1" customWidth="1"/>
    <col min="12" max="12" width="27" bestFit="1" customWidth="1"/>
    <col min="13" max="13" width="19.42578125" bestFit="1" customWidth="1"/>
  </cols>
  <sheetData>
    <row r="1" spans="1:13" ht="15.75" x14ac:dyDescent="0.25">
      <c r="A1" s="15" t="s">
        <v>66</v>
      </c>
      <c r="B1" s="1" t="s">
        <v>0</v>
      </c>
      <c r="C1" s="16" t="s">
        <v>1</v>
      </c>
      <c r="D1" s="16" t="s">
        <v>2</v>
      </c>
      <c r="E1" s="17" t="s">
        <v>62</v>
      </c>
      <c r="F1" s="17" t="s">
        <v>59</v>
      </c>
      <c r="G1" s="17" t="s">
        <v>63</v>
      </c>
      <c r="H1" s="17" t="s">
        <v>29</v>
      </c>
      <c r="I1" s="17" t="s">
        <v>64</v>
      </c>
      <c r="J1" s="18" t="s">
        <v>11</v>
      </c>
      <c r="K1" s="18" t="s">
        <v>12</v>
      </c>
      <c r="L1" s="18" t="s">
        <v>13</v>
      </c>
      <c r="M1" s="15" t="s">
        <v>65</v>
      </c>
    </row>
  </sheetData>
  <dataValidations count="6">
    <dataValidation type="list" allowBlank="1" showInputMessage="1" sqref="E2:E1048576" xr:uid="{855CCC5D-9108-4BE3-BFBB-A5694E1330F9}">
      <formula1>"Aquecimento, Ventilação, Limpeza, Exaustão"</formula1>
    </dataValidation>
    <dataValidation type="list" allowBlank="1" showInputMessage="1" sqref="F2:F1048576" xr:uid="{443F9B5F-EA03-40B4-8966-397572C45288}">
      <formula1>"Máquina de Lavar, Filtro, Ventilador, Chuveiro, Micro-ondas, Bebedouro, Exaustor"</formula1>
    </dataValidation>
    <dataValidation type="list" allowBlank="1" showInputMessage="1" sqref="H2:H1048576" xr:uid="{4D4D4B2A-8D91-408F-BB47-0D3F23060810}">
      <formula1>"1, 2, 3, 4, 5, 6, 7, 8, 9, 10, 11, 12, 13, 14, 15"</formula1>
    </dataValidation>
    <dataValidation type="list" allowBlank="1" showInputMessage="1" showErrorMessage="1" sqref="J2:J1048576" xr:uid="{73EEC426-EF9E-4318-AEF5-720E301E9980}">
      <formula1>"1, 2, 3, 4, 5, 6, 7, 8, 9, 10, 11, 12, 13, 14, 15, 16, 17, 18, 19, 20, 21, 22, 23, 24"</formula1>
    </dataValidation>
    <dataValidation type="list" allowBlank="1" showInputMessage="1" showErrorMessage="1" sqref="K2:K1048576" xr:uid="{3A9B0A3F-30C1-4F40-823D-CE25A95B3E5F}">
      <formula1>"1, 2, 3, 4, 5, 6, 7, 8, 9, 10, 11, 12, 13, 14, 15, 16, 17, 18, 19, 20, 21, 21.25, 22, 23, 24, 25, 26, 27, 28, 29, 30"</formula1>
    </dataValidation>
    <dataValidation type="list" allowBlank="1" showInputMessage="1" showErrorMessage="1" sqref="L2:L1048576" xr:uid="{74B5A75D-CDC2-4BCD-BB87-5B403BFBB7EE}">
      <formula1>"1, 2, 3, 4, 5, 6, 7, 8, 9, 10, 11, 12"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 Condicionado</vt:lpstr>
      <vt:lpstr>Iluminação</vt:lpstr>
      <vt:lpstr>Motores e Acionamento</vt:lpstr>
      <vt:lpstr>Painéis Fotovoltaicos</vt:lpstr>
      <vt:lpstr>Aquecimento de Água</vt:lpstr>
      <vt:lpstr>Refrigeração</vt:lpstr>
      <vt:lpstr>Outras Cargas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Carvalho</dc:creator>
  <cp:lastModifiedBy>Andre Carvalho</cp:lastModifiedBy>
  <dcterms:created xsi:type="dcterms:W3CDTF">2025-12-16T19:02:47Z</dcterms:created>
  <dcterms:modified xsi:type="dcterms:W3CDTF">2026-02-09T17:42:56Z</dcterms:modified>
</cp:coreProperties>
</file>